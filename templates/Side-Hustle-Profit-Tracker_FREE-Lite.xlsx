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166" fontId="0" fillId="3" borderId="0" pivotButton="0" quotePrefix="0" xfId="0"/>
    <xf numFmtId="0" fontId="1" fillId="2" borderId="0" applyAlignment="1" pivotButton="0" quotePrefix="0" xfId="0">
      <alignment horizontal="center"/>
    </xf>
    <xf numFmtId="166" fontId="0" fillId="4" borderId="0" pivotButton="0" quotePrefix="0" xfId="0"/>
    <xf numFmtId="0" fontId="0" fillId="4" borderId="0" pivotButton="0" quotePrefix="0" xfId="0"/>
    <xf numFmtId="2" fontId="0" fillId="4" borderId="0" pivotButton="0" quotePrefix="0" xfId="0"/>
    <xf numFmtId="167" fontId="0" fillId="4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3" borderId="0" pivotButton="0" quotePrefix="0" xfId="0"/>
    <xf numFmtId="0" fontId="0" fillId="3" borderId="0" pivotButton="0" quotePrefix="0" xfId="0"/>
    <xf numFmtId="2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5" customWidth="1" min="4" max="4"/>
    <col width="14" customWidth="1" min="5" max="5"/>
    <col width="9" customWidth="1" min="6" max="6"/>
  </cols>
  <sheetData>
    <row r="1">
      <c r="A1" s="1" t="inlineStr">
        <is>
          <t>Profit Dashboard – FREE Lite</t>
        </is>
      </c>
    </row>
    <row r="2">
      <c r="A2" t="inlineStr">
        <is>
          <t>Start month</t>
        </is>
      </c>
      <c r="B2" s="2" t="n">
        <v>46266</v>
      </c>
    </row>
    <row r="4">
      <c r="A4" s="3" t="inlineStr">
        <is>
          <t>Month</t>
        </is>
      </c>
      <c r="B4" s="3" t="inlineStr">
        <is>
          <t>Orders</t>
        </is>
      </c>
      <c r="C4" s="3" t="inlineStr">
        <is>
          <t>Revenue $</t>
        </is>
      </c>
      <c r="D4" s="3" t="inlineStr">
        <is>
          <t>Platform fees $</t>
        </is>
      </c>
      <c r="E4" s="3" t="inlineStr">
        <is>
          <t>Order profit $</t>
        </is>
      </c>
      <c r="F4" s="3" t="inlineStr">
        <is>
          <t>Margin</t>
        </is>
      </c>
    </row>
    <row r="5">
      <c r="A5" s="4">
        <f>B2</f>
        <v/>
      </c>
      <c r="B5" s="5">
        <f>COUNTIFS(Orders!$N$2:$N$31,$A5)</f>
        <v/>
      </c>
      <c r="C5" s="6">
        <f>SUMIFS(Orders!$K$2:$K$31,Orders!$N$2:$N$31,$A5)</f>
        <v/>
      </c>
      <c r="D5" s="6">
        <f>SUMIFS(Orders!$L$2:$L$31,Orders!$N$2:$N$31,$A5)</f>
        <v/>
      </c>
      <c r="E5" s="6">
        <f>SUMIFS(Orders!$M$2:$M$31,Orders!$N$2:$N$31,$A5)</f>
        <v/>
      </c>
      <c r="F5" s="7">
        <f>IF(C5=0,0,E5/C5)</f>
        <v/>
      </c>
    </row>
    <row r="6">
      <c r="A6" s="4">
        <f>EDATE(A5,1)</f>
        <v/>
      </c>
      <c r="B6" s="5">
        <f>COUNTIFS(Orders!$N$2:$N$31,$A6)</f>
        <v/>
      </c>
      <c r="C6" s="6">
        <f>SUMIFS(Orders!$K$2:$K$31,Orders!$N$2:$N$31,$A6)</f>
        <v/>
      </c>
      <c r="D6" s="6">
        <f>SUMIFS(Orders!$L$2:$L$31,Orders!$N$2:$N$31,$A6)</f>
        <v/>
      </c>
      <c r="E6" s="6">
        <f>SUMIFS(Orders!$M$2:$M$31,Orders!$N$2:$N$31,$A6)</f>
        <v/>
      </c>
      <c r="F6" s="7">
        <f>IF(C6=0,0,E6/C6)</f>
        <v/>
      </c>
    </row>
    <row r="7">
      <c r="A7" s="4">
        <f>EDATE(A6,1)</f>
        <v/>
      </c>
      <c r="B7" s="5">
        <f>COUNTIFS(Orders!$N$2:$N$31,$A7)</f>
        <v/>
      </c>
      <c r="C7" s="6">
        <f>SUMIFS(Orders!$K$2:$K$31,Orders!$N$2:$N$31,$A7)</f>
        <v/>
      </c>
      <c r="D7" s="6">
        <f>SUMIFS(Orders!$L$2:$L$31,Orders!$N$2:$N$31,$A7)</f>
        <v/>
      </c>
      <c r="E7" s="6">
        <f>SUMIFS(Orders!$M$2:$M$31,Orders!$N$2:$N$31,$A7)</f>
        <v/>
      </c>
      <c r="F7" s="7">
        <f>IF(C7=0,0,E7/C7)</f>
        <v/>
      </c>
    </row>
    <row r="8">
      <c r="A8" s="4">
        <f>EDATE(A7,1)</f>
        <v/>
      </c>
      <c r="B8" s="5">
        <f>COUNTIFS(Orders!$N$2:$N$31,$A8)</f>
        <v/>
      </c>
      <c r="C8" s="6">
        <f>SUMIFS(Orders!$K$2:$K$31,Orders!$N$2:$N$31,$A8)</f>
        <v/>
      </c>
      <c r="D8" s="6">
        <f>SUMIFS(Orders!$L$2:$L$31,Orders!$N$2:$N$31,$A8)</f>
        <v/>
      </c>
      <c r="E8" s="6">
        <f>SUMIFS(Orders!$M$2:$M$31,Orders!$N$2:$N$31,$A8)</f>
        <v/>
      </c>
      <c r="F8" s="7">
        <f>IF(C8=0,0,E8/C8)</f>
        <v/>
      </c>
    </row>
    <row r="9">
      <c r="A9" s="4">
        <f>EDATE(A8,1)</f>
        <v/>
      </c>
      <c r="B9" s="5">
        <f>COUNTIFS(Orders!$N$2:$N$31,$A9)</f>
        <v/>
      </c>
      <c r="C9" s="6">
        <f>SUMIFS(Orders!$K$2:$K$31,Orders!$N$2:$N$31,$A9)</f>
        <v/>
      </c>
      <c r="D9" s="6">
        <f>SUMIFS(Orders!$L$2:$L$31,Orders!$N$2:$N$31,$A9)</f>
        <v/>
      </c>
      <c r="E9" s="6">
        <f>SUMIFS(Orders!$M$2:$M$31,Orders!$N$2:$N$31,$A9)</f>
        <v/>
      </c>
      <c r="F9" s="7">
        <f>IF(C9=0,0,E9/C9)</f>
        <v/>
      </c>
    </row>
    <row r="10">
      <c r="A10" s="4">
        <f>EDATE(A9,1)</f>
        <v/>
      </c>
      <c r="B10" s="5">
        <f>COUNTIFS(Orders!$N$2:$N$31,$A10)</f>
        <v/>
      </c>
      <c r="C10" s="6">
        <f>SUMIFS(Orders!$K$2:$K$31,Orders!$N$2:$N$31,$A10)</f>
        <v/>
      </c>
      <c r="D10" s="6">
        <f>SUMIFS(Orders!$L$2:$L$31,Orders!$N$2:$N$31,$A10)</f>
        <v/>
      </c>
      <c r="E10" s="6">
        <f>SUMIFS(Orders!$M$2:$M$31,Orders!$N$2:$N$31,$A10)</f>
        <v/>
      </c>
      <c r="F10" s="7">
        <f>IF(C10=0,0,E10/C10)</f>
        <v/>
      </c>
    </row>
    <row r="11">
      <c r="A11" s="4">
        <f>EDATE(A10,1)</f>
        <v/>
      </c>
      <c r="B11" s="5">
        <f>COUNTIFS(Orders!$N$2:$N$31,$A11)</f>
        <v/>
      </c>
      <c r="C11" s="6">
        <f>SUMIFS(Orders!$K$2:$K$31,Orders!$N$2:$N$31,$A11)</f>
        <v/>
      </c>
      <c r="D11" s="6">
        <f>SUMIFS(Orders!$L$2:$L$31,Orders!$N$2:$N$31,$A11)</f>
        <v/>
      </c>
      <c r="E11" s="6">
        <f>SUMIFS(Orders!$M$2:$M$31,Orders!$N$2:$N$31,$A11)</f>
        <v/>
      </c>
      <c r="F11" s="7">
        <f>IF(C11=0,0,E11/C11)</f>
        <v/>
      </c>
    </row>
    <row r="12">
      <c r="A12" s="4">
        <f>EDATE(A11,1)</f>
        <v/>
      </c>
      <c r="B12" s="5">
        <f>COUNTIFS(Orders!$N$2:$N$31,$A12)</f>
        <v/>
      </c>
      <c r="C12" s="6">
        <f>SUMIFS(Orders!$K$2:$K$31,Orders!$N$2:$N$31,$A12)</f>
        <v/>
      </c>
      <c r="D12" s="6">
        <f>SUMIFS(Orders!$L$2:$L$31,Orders!$N$2:$N$31,$A12)</f>
        <v/>
      </c>
      <c r="E12" s="6">
        <f>SUMIFS(Orders!$M$2:$M$31,Orders!$N$2:$N$31,$A12)</f>
        <v/>
      </c>
      <c r="F12" s="7">
        <f>IF(C12=0,0,E12/C12)</f>
        <v/>
      </c>
    </row>
    <row r="13">
      <c r="A13" s="4">
        <f>EDATE(A12,1)</f>
        <v/>
      </c>
      <c r="B13" s="5">
        <f>COUNTIFS(Orders!$N$2:$N$31,$A13)</f>
        <v/>
      </c>
      <c r="C13" s="6">
        <f>SUMIFS(Orders!$K$2:$K$31,Orders!$N$2:$N$31,$A13)</f>
        <v/>
      </c>
      <c r="D13" s="6">
        <f>SUMIFS(Orders!$L$2:$L$31,Orders!$N$2:$N$31,$A13)</f>
        <v/>
      </c>
      <c r="E13" s="6">
        <f>SUMIFS(Orders!$M$2:$M$31,Orders!$N$2:$N$31,$A13)</f>
        <v/>
      </c>
      <c r="F13" s="7">
        <f>IF(C13=0,0,E13/C13)</f>
        <v/>
      </c>
    </row>
    <row r="14">
      <c r="A14" s="4">
        <f>EDATE(A13,1)</f>
        <v/>
      </c>
      <c r="B14" s="5">
        <f>COUNTIFS(Orders!$N$2:$N$31,$A14)</f>
        <v/>
      </c>
      <c r="C14" s="6">
        <f>SUMIFS(Orders!$K$2:$K$31,Orders!$N$2:$N$31,$A14)</f>
        <v/>
      </c>
      <c r="D14" s="6">
        <f>SUMIFS(Orders!$L$2:$L$31,Orders!$N$2:$N$31,$A14)</f>
        <v/>
      </c>
      <c r="E14" s="6">
        <f>SUMIFS(Orders!$M$2:$M$31,Orders!$N$2:$N$31,$A14)</f>
        <v/>
      </c>
      <c r="F14" s="7">
        <f>IF(C14=0,0,E14/C14)</f>
        <v/>
      </c>
    </row>
    <row r="15">
      <c r="A15" s="4">
        <f>EDATE(A14,1)</f>
        <v/>
      </c>
      <c r="B15" s="5">
        <f>COUNTIFS(Orders!$N$2:$N$31,$A15)</f>
        <v/>
      </c>
      <c r="C15" s="6">
        <f>SUMIFS(Orders!$K$2:$K$31,Orders!$N$2:$N$31,$A15)</f>
        <v/>
      </c>
      <c r="D15" s="6">
        <f>SUMIFS(Orders!$L$2:$L$31,Orders!$N$2:$N$31,$A15)</f>
        <v/>
      </c>
      <c r="E15" s="6">
        <f>SUMIFS(Orders!$M$2:$M$31,Orders!$N$2:$N$31,$A15)</f>
        <v/>
      </c>
      <c r="F15" s="7">
        <f>IF(C15=0,0,E15/C15)</f>
        <v/>
      </c>
    </row>
    <row r="16">
      <c r="A16" s="4">
        <f>EDATE(A15,1)</f>
        <v/>
      </c>
      <c r="B16" s="5">
        <f>COUNTIFS(Orders!$N$2:$N$31,$A16)</f>
        <v/>
      </c>
      <c r="C16" s="6">
        <f>SUMIFS(Orders!$K$2:$K$31,Orders!$N$2:$N$31,$A16)</f>
        <v/>
      </c>
      <c r="D16" s="6">
        <f>SUMIFS(Orders!$L$2:$L$31,Orders!$N$2:$N$31,$A16)</f>
        <v/>
      </c>
      <c r="E16" s="6">
        <f>SUMIFS(Orders!$M$2:$M$31,Orders!$N$2:$N$31,$A16)</f>
        <v/>
      </c>
      <c r="F16" s="7">
        <f>IF(C16=0,0,E16/C16)</f>
        <v/>
      </c>
    </row>
    <row r="18">
      <c r="A18" s="8" t="inlineStr">
        <is>
          <t>Total</t>
        </is>
      </c>
      <c r="B18" s="8">
        <f>SUM(B5:B16)</f>
        <v/>
      </c>
      <c r="C18" s="8">
        <f>SUM(C5:C16)</f>
        <v/>
      </c>
      <c r="D18" s="8">
        <f>SUM(D5:D16)</f>
        <v/>
      </c>
      <c r="E18" s="8">
        <f>SUM(E5:E16)</f>
        <v/>
      </c>
    </row>
    <row r="20">
      <c r="A20" s="9" t="inlineStr">
        <is>
          <t>Want inventory, refunds, expenses, a weekly view and charts? Get the full Side Hustle Bookkeeping &amp; Profit Tracker ($9).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6" customWidth="1" min="4" max="4"/>
    <col width="6" customWidth="1" min="5" max="5"/>
    <col width="11" customWidth="1" min="6" max="6"/>
    <col width="11" customWidth="1" min="7" max="7"/>
    <col width="8" customWidth="1" min="8" max="8"/>
    <col width="10" customWidth="1" min="9" max="9"/>
    <col width="10" customWidth="1" min="10" max="10"/>
    <col width="11" customWidth="1" min="11" max="11"/>
    <col width="12" customWidth="1" min="12" max="12"/>
    <col width="13" customWidth="1" min="13" max="13"/>
    <col width="10" customWidth="1" min="14" max="14"/>
  </cols>
  <sheetData>
    <row r="1">
      <c r="A1" s="10" t="inlineStr">
        <is>
          <t>Date</t>
        </is>
      </c>
      <c r="B1" s="10" t="inlineStr">
        <is>
          <t>Order ID</t>
        </is>
      </c>
      <c r="C1" s="10" t="inlineStr">
        <is>
          <t>Channel</t>
        </is>
      </c>
      <c r="D1" s="10" t="inlineStr">
        <is>
          <t>Product</t>
        </is>
      </c>
      <c r="E1" s="10" t="inlineStr">
        <is>
          <t>Qty</t>
        </is>
      </c>
      <c r="F1" s="10" t="inlineStr">
        <is>
          <t>Unit price $</t>
        </is>
      </c>
      <c r="G1" s="10" t="inlineStr">
        <is>
          <t>Unit cost $</t>
        </is>
      </c>
      <c r="H1" s="10" t="inlineStr">
        <is>
          <t>Fee %</t>
        </is>
      </c>
      <c r="I1" s="10" t="inlineStr">
        <is>
          <t>Fixed fee $</t>
        </is>
      </c>
      <c r="J1" s="10" t="inlineStr">
        <is>
          <t>Shipping $</t>
        </is>
      </c>
      <c r="K1" s="10" t="inlineStr">
        <is>
          <t>Revenue $</t>
        </is>
      </c>
      <c r="L1" s="10" t="inlineStr">
        <is>
          <t>Platform fees $</t>
        </is>
      </c>
      <c r="M1" s="10" t="inlineStr">
        <is>
          <t>Order profit $</t>
        </is>
      </c>
      <c r="N1" s="10" t="inlineStr">
        <is>
          <t>Month</t>
        </is>
      </c>
    </row>
    <row r="2">
      <c r="A2" s="11" t="n">
        <v>46286</v>
      </c>
      <c r="B2" s="12" t="inlineStr">
        <is>
          <t>SAMPLE-1001</t>
        </is>
      </c>
      <c r="C2" s="12" t="inlineStr">
        <is>
          <t>Stripe</t>
        </is>
      </c>
      <c r="D2" s="12" t="inlineStr">
        <is>
          <t>SAMPLE Candle - Cedar</t>
        </is>
      </c>
      <c r="E2" s="12" t="n">
        <v>2</v>
      </c>
      <c r="F2" s="13" t="n">
        <v>17.1</v>
      </c>
      <c r="G2" s="13" t="n">
        <v>4.5</v>
      </c>
      <c r="H2" s="14" t="n">
        <v>0.029</v>
      </c>
      <c r="I2" s="13" t="n">
        <v>0.3</v>
      </c>
      <c r="J2" s="13" t="n">
        <v>0</v>
      </c>
      <c r="K2" s="6">
        <f>IF(E2="","",E2*F2)</f>
        <v/>
      </c>
      <c r="L2" s="6">
        <f>IF(E2="","",ROUND(K2*H2+I2,2))</f>
        <v/>
      </c>
      <c r="M2" s="6">
        <f>IF(E2="","",K2-E2*G2-L2-N(J2))</f>
        <v/>
      </c>
      <c r="N2" s="4">
        <f>IF(A2="","",DATE(YEAR(A2),MONTH(A2),1))</f>
        <v/>
      </c>
    </row>
    <row r="3">
      <c r="A3" s="11" t="n">
        <v>46270</v>
      </c>
      <c r="B3" s="12" t="inlineStr">
        <is>
          <t>SAMPLE-1002</t>
        </is>
      </c>
      <c r="C3" s="12" t="inlineStr">
        <is>
          <t>Shopify</t>
        </is>
      </c>
      <c r="D3" s="12" t="inlineStr">
        <is>
          <t>SAMPLE Tote Bag</t>
        </is>
      </c>
      <c r="E3" s="12" t="n">
        <v>1</v>
      </c>
      <c r="F3" s="13" t="n">
        <v>24</v>
      </c>
      <c r="G3" s="13" t="n">
        <v>6</v>
      </c>
      <c r="H3" s="14" t="n">
        <v>0.029</v>
      </c>
      <c r="I3" s="13" t="n">
        <v>0.3</v>
      </c>
      <c r="J3" s="13" t="n">
        <v>0</v>
      </c>
      <c r="K3" s="6">
        <f>IF(E3="","",E3*F3)</f>
        <v/>
      </c>
      <c r="L3" s="6">
        <f>IF(E3="","",ROUND(K3*H3+I3,2))</f>
        <v/>
      </c>
      <c r="M3" s="6">
        <f>IF(E3="","",K3-E3*G3-L3-N(J3))</f>
        <v/>
      </c>
      <c r="N3" s="4">
        <f>IF(A3="","",DATE(YEAR(A3),MONTH(A3),1))</f>
        <v/>
      </c>
    </row>
    <row r="4">
      <c r="A4" s="11" t="n">
        <v>46298</v>
      </c>
      <c r="B4" s="12" t="inlineStr">
        <is>
          <t>SAMPLE-1003</t>
        </is>
      </c>
      <c r="C4" s="12" t="inlineStr">
        <is>
          <t>Etsy</t>
        </is>
      </c>
      <c r="D4" s="12" t="inlineStr">
        <is>
          <t>SAMPLE Candle - Cedar</t>
        </is>
      </c>
      <c r="E4" s="12" t="n">
        <v>1</v>
      </c>
      <c r="F4" s="13" t="n">
        <v>19</v>
      </c>
      <c r="G4" s="13" t="n">
        <v>4.5</v>
      </c>
      <c r="H4" s="14" t="n">
        <v>0.095</v>
      </c>
      <c r="I4" s="13" t="n">
        <v>0.45</v>
      </c>
      <c r="J4" s="13" t="n">
        <v>4.5</v>
      </c>
      <c r="K4" s="6">
        <f>IF(E4="","",E4*F4)</f>
        <v/>
      </c>
      <c r="L4" s="6">
        <f>IF(E4="","",ROUND(K4*H4+I4,2))</f>
        <v/>
      </c>
      <c r="M4" s="6">
        <f>IF(E4="","",K4-E4*G4-L4-N(J4))</f>
        <v/>
      </c>
      <c r="N4" s="4">
        <f>IF(A4="","",DATE(YEAR(A4),MONTH(A4),1))</f>
        <v/>
      </c>
    </row>
    <row r="5">
      <c r="A5" s="11" t="n">
        <v>46292</v>
      </c>
      <c r="B5" s="12" t="inlineStr">
        <is>
          <t>SAMPLE-1004</t>
        </is>
      </c>
      <c r="C5" s="12" t="inlineStr">
        <is>
          <t>Etsy</t>
        </is>
      </c>
      <c r="D5" s="12" t="inlineStr">
        <is>
          <t>SAMPLE Candle - Lavender</t>
        </is>
      </c>
      <c r="E5" s="12" t="n">
        <v>1</v>
      </c>
      <c r="F5" s="13" t="n">
        <v>18</v>
      </c>
      <c r="G5" s="13" t="n">
        <v>4.2</v>
      </c>
      <c r="H5" s="14" t="n">
        <v>0.095</v>
      </c>
      <c r="I5" s="13" t="n">
        <v>0.45</v>
      </c>
      <c r="J5" s="13" t="n">
        <v>4.5</v>
      </c>
      <c r="K5" s="6">
        <f>IF(E5="","",E5*F5)</f>
        <v/>
      </c>
      <c r="L5" s="6">
        <f>IF(E5="","",ROUND(K5*H5+I5,2))</f>
        <v/>
      </c>
      <c r="M5" s="6">
        <f>IF(E5="","",K5-E5*G5-L5-N(J5))</f>
        <v/>
      </c>
      <c r="N5" s="4">
        <f>IF(A5="","",DATE(YEAR(A5),MONTH(A5),1))</f>
        <v/>
      </c>
    </row>
    <row r="6">
      <c r="A6" s="11" t="n">
        <v>46269</v>
      </c>
      <c r="B6" s="12" t="inlineStr">
        <is>
          <t>SAMPLE-1005</t>
        </is>
      </c>
      <c r="C6" s="12" t="inlineStr">
        <is>
          <t>Etsy</t>
        </is>
      </c>
      <c r="D6" s="12" t="inlineStr">
        <is>
          <t>SAMPLE Tote Bag</t>
        </is>
      </c>
      <c r="E6" s="12" t="n">
        <v>1</v>
      </c>
      <c r="F6" s="13" t="n">
        <v>24</v>
      </c>
      <c r="G6" s="13" t="n">
        <v>6</v>
      </c>
      <c r="H6" s="14" t="n">
        <v>0.095</v>
      </c>
      <c r="I6" s="13" t="n">
        <v>0.45</v>
      </c>
      <c r="J6" s="13" t="n">
        <v>0</v>
      </c>
      <c r="K6" s="6">
        <f>IF(E6="","",E6*F6)</f>
        <v/>
      </c>
      <c r="L6" s="6">
        <f>IF(E6="","",ROUND(K6*H6+I6,2))</f>
        <v/>
      </c>
      <c r="M6" s="6">
        <f>IF(E6="","",K6-E6*G6-L6-N(J6))</f>
        <v/>
      </c>
      <c r="N6" s="4">
        <f>IF(A6="","",DATE(YEAR(A6),MONTH(A6),1))</f>
        <v/>
      </c>
    </row>
    <row r="7">
      <c r="A7" s="11" t="n">
        <v>46302</v>
      </c>
      <c r="B7" s="12" t="inlineStr">
        <is>
          <t>SAMPLE-1006</t>
        </is>
      </c>
      <c r="C7" s="12" t="inlineStr">
        <is>
          <t>Etsy</t>
        </is>
      </c>
      <c r="D7" s="12" t="inlineStr">
        <is>
          <t>SAMPLE Tote Bag</t>
        </is>
      </c>
      <c r="E7" s="12" t="n">
        <v>2</v>
      </c>
      <c r="F7" s="13" t="n">
        <v>24</v>
      </c>
      <c r="G7" s="13" t="n">
        <v>6</v>
      </c>
      <c r="H7" s="14" t="n">
        <v>0.095</v>
      </c>
      <c r="I7" s="13" t="n">
        <v>0.45</v>
      </c>
      <c r="J7" s="13" t="n">
        <v>2.5</v>
      </c>
      <c r="K7" s="6">
        <f>IF(E7="","",E7*F7)</f>
        <v/>
      </c>
      <c r="L7" s="6">
        <f>IF(E7="","",ROUND(K7*H7+I7,2))</f>
        <v/>
      </c>
      <c r="M7" s="6">
        <f>IF(E7="","",K7-E7*G7-L7-N(J7))</f>
        <v/>
      </c>
      <c r="N7" s="4">
        <f>IF(A7="","",DATE(YEAR(A7),MONTH(A7),1))</f>
        <v/>
      </c>
    </row>
    <row r="8">
      <c r="A8" s="11" t="n">
        <v>46268</v>
      </c>
      <c r="B8" s="12" t="inlineStr">
        <is>
          <t>SAMPLE-1007</t>
        </is>
      </c>
      <c r="C8" s="12" t="inlineStr">
        <is>
          <t>Shopify</t>
        </is>
      </c>
      <c r="D8" s="12" t="inlineStr">
        <is>
          <t>SAMPLE Tote Bag</t>
        </is>
      </c>
      <c r="E8" s="12" t="n">
        <v>1</v>
      </c>
      <c r="F8" s="13" t="n">
        <v>24</v>
      </c>
      <c r="G8" s="13" t="n">
        <v>6</v>
      </c>
      <c r="H8" s="14" t="n">
        <v>0.029</v>
      </c>
      <c r="I8" s="13" t="n">
        <v>0.3</v>
      </c>
      <c r="J8" s="13" t="n">
        <v>4.5</v>
      </c>
      <c r="K8" s="6">
        <f>IF(E8="","",E8*F8)</f>
        <v/>
      </c>
      <c r="L8" s="6">
        <f>IF(E8="","",ROUND(K8*H8+I8,2))</f>
        <v/>
      </c>
      <c r="M8" s="6">
        <f>IF(E8="","",K8-E8*G8-L8-N(J8))</f>
        <v/>
      </c>
      <c r="N8" s="4">
        <f>IF(A8="","",DATE(YEAR(A8),MONTH(A8),1))</f>
        <v/>
      </c>
    </row>
    <row r="9">
      <c r="A9" s="11" t="n">
        <v>46275</v>
      </c>
      <c r="B9" s="12" t="inlineStr">
        <is>
          <t>SAMPLE-1008</t>
        </is>
      </c>
      <c r="C9" s="12" t="inlineStr">
        <is>
          <t>eBay</t>
        </is>
      </c>
      <c r="D9" s="12" t="inlineStr">
        <is>
          <t>SAMPLE Tote Bag</t>
        </is>
      </c>
      <c r="E9" s="12" t="n">
        <v>1</v>
      </c>
      <c r="F9" s="13" t="n">
        <v>21.6</v>
      </c>
      <c r="G9" s="13" t="n">
        <v>6</v>
      </c>
      <c r="H9" s="14" t="n">
        <v>0.13</v>
      </c>
      <c r="I9" s="13" t="n">
        <v>0.3</v>
      </c>
      <c r="J9" s="13" t="n">
        <v>3.8</v>
      </c>
      <c r="K9" s="6">
        <f>IF(E9="","",E9*F9)</f>
        <v/>
      </c>
      <c r="L9" s="6">
        <f>IF(E9="","",ROUND(K9*H9+I9,2))</f>
        <v/>
      </c>
      <c r="M9" s="6">
        <f>IF(E9="","",K9-E9*G9-L9-N(J9))</f>
        <v/>
      </c>
      <c r="N9" s="4">
        <f>IF(A9="","",DATE(YEAR(A9),MONTH(A9),1))</f>
        <v/>
      </c>
    </row>
    <row r="10">
      <c r="A10" s="11" t="n">
        <v>46301</v>
      </c>
      <c r="B10" s="12" t="inlineStr">
        <is>
          <t>SAMPLE-1009</t>
        </is>
      </c>
      <c r="C10" s="12" t="inlineStr">
        <is>
          <t>eBay</t>
        </is>
      </c>
      <c r="D10" s="12" t="inlineStr">
        <is>
          <t>SAMPLE Candle - Cedar</t>
        </is>
      </c>
      <c r="E10" s="12" t="n">
        <v>1</v>
      </c>
      <c r="F10" s="13" t="n">
        <v>19</v>
      </c>
      <c r="G10" s="13" t="n">
        <v>4.5</v>
      </c>
      <c r="H10" s="14" t="n">
        <v>0.13</v>
      </c>
      <c r="I10" s="13" t="n">
        <v>0.3</v>
      </c>
      <c r="J10" s="13" t="n">
        <v>2.5</v>
      </c>
      <c r="K10" s="6">
        <f>IF(E10="","",E10*F10)</f>
        <v/>
      </c>
      <c r="L10" s="6">
        <f>IF(E10="","",ROUND(K10*H10+I10,2))</f>
        <v/>
      </c>
      <c r="M10" s="6">
        <f>IF(E10="","",K10-E10*G10-L10-N(J10))</f>
        <v/>
      </c>
      <c r="N10" s="4">
        <f>IF(A10="","",DATE(YEAR(A10),MONTH(A10),1))</f>
        <v/>
      </c>
    </row>
    <row r="11">
      <c r="A11" s="11" t="n">
        <v>46289</v>
      </c>
      <c r="B11" s="12" t="inlineStr">
        <is>
          <t>SAMPLE-1010</t>
        </is>
      </c>
      <c r="C11" s="12" t="inlineStr">
        <is>
          <t>Stripe</t>
        </is>
      </c>
      <c r="D11" s="12" t="inlineStr">
        <is>
          <t>SAMPLE Candle - Lavender</t>
        </is>
      </c>
      <c r="E11" s="12" t="n">
        <v>3</v>
      </c>
      <c r="F11" s="13" t="n">
        <v>18</v>
      </c>
      <c r="G11" s="13" t="n">
        <v>4.2</v>
      </c>
      <c r="H11" s="14" t="n">
        <v>0.029</v>
      </c>
      <c r="I11" s="13" t="n">
        <v>0.3</v>
      </c>
      <c r="J11" s="13" t="n">
        <v>0</v>
      </c>
      <c r="K11" s="6">
        <f>IF(E11="","",E11*F11)</f>
        <v/>
      </c>
      <c r="L11" s="6">
        <f>IF(E11="","",ROUND(K11*H11+I11,2))</f>
        <v/>
      </c>
      <c r="M11" s="6">
        <f>IF(E11="","",K11-E11*G11-L11-N(J11))</f>
        <v/>
      </c>
      <c r="N11" s="4">
        <f>IF(A11="","",DATE(YEAR(A11),MONTH(A11),1))</f>
        <v/>
      </c>
    </row>
    <row r="12">
      <c r="A12" s="11" t="n">
        <v>46302</v>
      </c>
      <c r="B12" s="12" t="inlineStr">
        <is>
          <t>SAMPLE-1011</t>
        </is>
      </c>
      <c r="C12" s="12" t="inlineStr">
        <is>
          <t>Etsy</t>
        </is>
      </c>
      <c r="D12" s="12" t="inlineStr">
        <is>
          <t>SAMPLE Candle - Lavender</t>
        </is>
      </c>
      <c r="E12" s="12" t="n">
        <v>3</v>
      </c>
      <c r="F12" s="13" t="n">
        <v>18</v>
      </c>
      <c r="G12" s="13" t="n">
        <v>4.2</v>
      </c>
      <c r="H12" s="14" t="n">
        <v>0.095</v>
      </c>
      <c r="I12" s="13" t="n">
        <v>0.45</v>
      </c>
      <c r="J12" s="13" t="n">
        <v>4.5</v>
      </c>
      <c r="K12" s="6">
        <f>IF(E12="","",E12*F12)</f>
        <v/>
      </c>
      <c r="L12" s="6">
        <f>IF(E12="","",ROUND(K12*H12+I12,2))</f>
        <v/>
      </c>
      <c r="M12" s="6">
        <f>IF(E12="","",K12-E12*G12-L12-N(J12))</f>
        <v/>
      </c>
      <c r="N12" s="4">
        <f>IF(A12="","",DATE(YEAR(A12),MONTH(A12),1))</f>
        <v/>
      </c>
    </row>
    <row r="13">
      <c r="A13" s="11" t="n">
        <v>46300</v>
      </c>
      <c r="B13" s="12" t="inlineStr">
        <is>
          <t>SAMPLE-1012</t>
        </is>
      </c>
      <c r="C13" s="12" t="inlineStr">
        <is>
          <t>Amazon</t>
        </is>
      </c>
      <c r="D13" s="12" t="inlineStr">
        <is>
          <t>SAMPLE Sticker Pack</t>
        </is>
      </c>
      <c r="E13" s="12" t="n">
        <v>1</v>
      </c>
      <c r="F13" s="13" t="n">
        <v>6</v>
      </c>
      <c r="G13" s="13" t="n">
        <v>1.1</v>
      </c>
      <c r="H13" s="14" t="n">
        <v>0.15</v>
      </c>
      <c r="I13" s="13" t="n">
        <v>0</v>
      </c>
      <c r="J13" s="13" t="n">
        <v>4.5</v>
      </c>
      <c r="K13" s="6">
        <f>IF(E13="","",E13*F13)</f>
        <v/>
      </c>
      <c r="L13" s="6">
        <f>IF(E13="","",ROUND(K13*H13+I13,2))</f>
        <v/>
      </c>
      <c r="M13" s="6">
        <f>IF(E13="","",K13-E13*G13-L13-N(J13))</f>
        <v/>
      </c>
      <c r="N13" s="4">
        <f>IF(A13="","",DATE(YEAR(A13),MONTH(A13),1))</f>
        <v/>
      </c>
    </row>
    <row r="14">
      <c r="A14" s="11" t="n"/>
      <c r="B14" s="12" t="n"/>
      <c r="C14" s="12" t="n"/>
      <c r="D14" s="12" t="n"/>
      <c r="E14" s="12" t="n"/>
      <c r="F14" s="13" t="n"/>
      <c r="G14" s="13" t="n"/>
      <c r="H14" s="14" t="n"/>
      <c r="I14" s="13" t="n"/>
      <c r="J14" s="13" t="n"/>
      <c r="K14" s="6">
        <f>IF(E14="","",E14*F14)</f>
        <v/>
      </c>
      <c r="L14" s="6">
        <f>IF(E14="","",ROUND(K14*H14+I14,2))</f>
        <v/>
      </c>
      <c r="M14" s="6">
        <f>IF(E14="","",K14-E14*G14-L14-N(J14))</f>
        <v/>
      </c>
      <c r="N14" s="4">
        <f>IF(A14="","",DATE(YEAR(A14),MONTH(A14),1))</f>
        <v/>
      </c>
    </row>
    <row r="15">
      <c r="A15" s="11" t="n"/>
      <c r="B15" s="12" t="n"/>
      <c r="C15" s="12" t="n"/>
      <c r="D15" s="12" t="n"/>
      <c r="E15" s="12" t="n"/>
      <c r="F15" s="13" t="n"/>
      <c r="G15" s="13" t="n"/>
      <c r="H15" s="14" t="n"/>
      <c r="I15" s="13" t="n"/>
      <c r="J15" s="13" t="n"/>
      <c r="K15" s="6">
        <f>IF(E15="","",E15*F15)</f>
        <v/>
      </c>
      <c r="L15" s="6">
        <f>IF(E15="","",ROUND(K15*H15+I15,2))</f>
        <v/>
      </c>
      <c r="M15" s="6">
        <f>IF(E15="","",K15-E15*G15-L15-N(J15))</f>
        <v/>
      </c>
      <c r="N15" s="4">
        <f>IF(A15="","",DATE(YEAR(A15),MONTH(A15),1))</f>
        <v/>
      </c>
    </row>
    <row r="16">
      <c r="A16" s="11" t="n"/>
      <c r="B16" s="12" t="n"/>
      <c r="C16" s="12" t="n"/>
      <c r="D16" s="12" t="n"/>
      <c r="E16" s="12" t="n"/>
      <c r="F16" s="13" t="n"/>
      <c r="G16" s="13" t="n"/>
      <c r="H16" s="14" t="n"/>
      <c r="I16" s="13" t="n"/>
      <c r="J16" s="13" t="n"/>
      <c r="K16" s="6">
        <f>IF(E16="","",E16*F16)</f>
        <v/>
      </c>
      <c r="L16" s="6">
        <f>IF(E16="","",ROUND(K16*H16+I16,2))</f>
        <v/>
      </c>
      <c r="M16" s="6">
        <f>IF(E16="","",K16-E16*G16-L16-N(J16))</f>
        <v/>
      </c>
      <c r="N16" s="4">
        <f>IF(A16="","",DATE(YEAR(A16),MONTH(A16),1))</f>
        <v/>
      </c>
    </row>
    <row r="17">
      <c r="A17" s="11" t="n"/>
      <c r="B17" s="12" t="n"/>
      <c r="C17" s="12" t="n"/>
      <c r="D17" s="12" t="n"/>
      <c r="E17" s="12" t="n"/>
      <c r="F17" s="13" t="n"/>
      <c r="G17" s="13" t="n"/>
      <c r="H17" s="14" t="n"/>
      <c r="I17" s="13" t="n"/>
      <c r="J17" s="13" t="n"/>
      <c r="K17" s="6">
        <f>IF(E17="","",E17*F17)</f>
        <v/>
      </c>
      <c r="L17" s="6">
        <f>IF(E17="","",ROUND(K17*H17+I17,2))</f>
        <v/>
      </c>
      <c r="M17" s="6">
        <f>IF(E17="","",K17-E17*G17-L17-N(J17))</f>
        <v/>
      </c>
      <c r="N17" s="4">
        <f>IF(A17="","",DATE(YEAR(A17),MONTH(A17),1))</f>
        <v/>
      </c>
    </row>
    <row r="18">
      <c r="A18" s="11" t="n"/>
      <c r="B18" s="12" t="n"/>
      <c r="C18" s="12" t="n"/>
      <c r="D18" s="12" t="n"/>
      <c r="E18" s="12" t="n"/>
      <c r="F18" s="13" t="n"/>
      <c r="G18" s="13" t="n"/>
      <c r="H18" s="14" t="n"/>
      <c r="I18" s="13" t="n"/>
      <c r="J18" s="13" t="n"/>
      <c r="K18" s="6">
        <f>IF(E18="","",E18*F18)</f>
        <v/>
      </c>
      <c r="L18" s="6">
        <f>IF(E18="","",ROUND(K18*H18+I18,2))</f>
        <v/>
      </c>
      <c r="M18" s="6">
        <f>IF(E18="","",K18-E18*G18-L18-N(J18))</f>
        <v/>
      </c>
      <c r="N18" s="4">
        <f>IF(A18="","",DATE(YEAR(A18),MONTH(A18),1))</f>
        <v/>
      </c>
    </row>
    <row r="19">
      <c r="A19" s="11" t="n"/>
      <c r="B19" s="12" t="n"/>
      <c r="C19" s="12" t="n"/>
      <c r="D19" s="12" t="n"/>
      <c r="E19" s="12" t="n"/>
      <c r="F19" s="13" t="n"/>
      <c r="G19" s="13" t="n"/>
      <c r="H19" s="14" t="n"/>
      <c r="I19" s="13" t="n"/>
      <c r="J19" s="13" t="n"/>
      <c r="K19" s="6">
        <f>IF(E19="","",E19*F19)</f>
        <v/>
      </c>
      <c r="L19" s="6">
        <f>IF(E19="","",ROUND(K19*H19+I19,2))</f>
        <v/>
      </c>
      <c r="M19" s="6">
        <f>IF(E19="","",K19-E19*G19-L19-N(J19))</f>
        <v/>
      </c>
      <c r="N19" s="4">
        <f>IF(A19="","",DATE(YEAR(A19),MONTH(A19),1))</f>
        <v/>
      </c>
    </row>
    <row r="20">
      <c r="A20" s="11" t="n"/>
      <c r="B20" s="12" t="n"/>
      <c r="C20" s="12" t="n"/>
      <c r="D20" s="12" t="n"/>
      <c r="E20" s="12" t="n"/>
      <c r="F20" s="13" t="n"/>
      <c r="G20" s="13" t="n"/>
      <c r="H20" s="14" t="n"/>
      <c r="I20" s="13" t="n"/>
      <c r="J20" s="13" t="n"/>
      <c r="K20" s="6">
        <f>IF(E20="","",E20*F20)</f>
        <v/>
      </c>
      <c r="L20" s="6">
        <f>IF(E20="","",ROUND(K20*H20+I20,2))</f>
        <v/>
      </c>
      <c r="M20" s="6">
        <f>IF(E20="","",K20-E20*G20-L20-N(J20))</f>
        <v/>
      </c>
      <c r="N20" s="4">
        <f>IF(A20="","",DATE(YEAR(A20),MONTH(A20),1))</f>
        <v/>
      </c>
    </row>
    <row r="21">
      <c r="A21" s="11" t="n"/>
      <c r="B21" s="12" t="n"/>
      <c r="C21" s="12" t="n"/>
      <c r="D21" s="12" t="n"/>
      <c r="E21" s="12" t="n"/>
      <c r="F21" s="13" t="n"/>
      <c r="G21" s="13" t="n"/>
      <c r="H21" s="14" t="n"/>
      <c r="I21" s="13" t="n"/>
      <c r="J21" s="13" t="n"/>
      <c r="K21" s="6">
        <f>IF(E21="","",E21*F21)</f>
        <v/>
      </c>
      <c r="L21" s="6">
        <f>IF(E21="","",ROUND(K21*H21+I21,2))</f>
        <v/>
      </c>
      <c r="M21" s="6">
        <f>IF(E21="","",K21-E21*G21-L21-N(J21))</f>
        <v/>
      </c>
      <c r="N21" s="4">
        <f>IF(A21="","",DATE(YEAR(A21),MONTH(A21),1))</f>
        <v/>
      </c>
    </row>
    <row r="22">
      <c r="A22" s="11" t="n"/>
      <c r="B22" s="12" t="n"/>
      <c r="C22" s="12" t="n"/>
      <c r="D22" s="12" t="n"/>
      <c r="E22" s="12" t="n"/>
      <c r="F22" s="13" t="n"/>
      <c r="G22" s="13" t="n"/>
      <c r="H22" s="14" t="n"/>
      <c r="I22" s="13" t="n"/>
      <c r="J22" s="13" t="n"/>
      <c r="K22" s="6">
        <f>IF(E22="","",E22*F22)</f>
        <v/>
      </c>
      <c r="L22" s="6">
        <f>IF(E22="","",ROUND(K22*H22+I22,2))</f>
        <v/>
      </c>
      <c r="M22" s="6">
        <f>IF(E22="","",K22-E22*G22-L22-N(J22))</f>
        <v/>
      </c>
      <c r="N22" s="4">
        <f>IF(A22="","",DATE(YEAR(A22),MONTH(A22),1))</f>
        <v/>
      </c>
    </row>
    <row r="23">
      <c r="A23" s="11" t="n"/>
      <c r="B23" s="12" t="n"/>
      <c r="C23" s="12" t="n"/>
      <c r="D23" s="12" t="n"/>
      <c r="E23" s="12" t="n"/>
      <c r="F23" s="13" t="n"/>
      <c r="G23" s="13" t="n"/>
      <c r="H23" s="14" t="n"/>
      <c r="I23" s="13" t="n"/>
      <c r="J23" s="13" t="n"/>
      <c r="K23" s="6">
        <f>IF(E23="","",E23*F23)</f>
        <v/>
      </c>
      <c r="L23" s="6">
        <f>IF(E23="","",ROUND(K23*H23+I23,2))</f>
        <v/>
      </c>
      <c r="M23" s="6">
        <f>IF(E23="","",K23-E23*G23-L23-N(J23))</f>
        <v/>
      </c>
      <c r="N23" s="4">
        <f>IF(A23="","",DATE(YEAR(A23),MONTH(A23),1))</f>
        <v/>
      </c>
    </row>
    <row r="24">
      <c r="A24" s="11" t="n"/>
      <c r="B24" s="12" t="n"/>
      <c r="C24" s="12" t="n"/>
      <c r="D24" s="12" t="n"/>
      <c r="E24" s="12" t="n"/>
      <c r="F24" s="13" t="n"/>
      <c r="G24" s="13" t="n"/>
      <c r="H24" s="14" t="n"/>
      <c r="I24" s="13" t="n"/>
      <c r="J24" s="13" t="n"/>
      <c r="K24" s="6">
        <f>IF(E24="","",E24*F24)</f>
        <v/>
      </c>
      <c r="L24" s="6">
        <f>IF(E24="","",ROUND(K24*H24+I24,2))</f>
        <v/>
      </c>
      <c r="M24" s="6">
        <f>IF(E24="","",K24-E24*G24-L24-N(J24))</f>
        <v/>
      </c>
      <c r="N24" s="4">
        <f>IF(A24="","",DATE(YEAR(A24),MONTH(A24),1))</f>
        <v/>
      </c>
    </row>
    <row r="25">
      <c r="A25" s="11" t="n"/>
      <c r="B25" s="12" t="n"/>
      <c r="C25" s="12" t="n"/>
      <c r="D25" s="12" t="n"/>
      <c r="E25" s="12" t="n"/>
      <c r="F25" s="13" t="n"/>
      <c r="G25" s="13" t="n"/>
      <c r="H25" s="14" t="n"/>
      <c r="I25" s="13" t="n"/>
      <c r="J25" s="13" t="n"/>
      <c r="K25" s="6">
        <f>IF(E25="","",E25*F25)</f>
        <v/>
      </c>
      <c r="L25" s="6">
        <f>IF(E25="","",ROUND(K25*H25+I25,2))</f>
        <v/>
      </c>
      <c r="M25" s="6">
        <f>IF(E25="","",K25-E25*G25-L25-N(J25))</f>
        <v/>
      </c>
      <c r="N25" s="4">
        <f>IF(A25="","",DATE(YEAR(A25),MONTH(A25),1))</f>
        <v/>
      </c>
    </row>
    <row r="26">
      <c r="A26" s="11" t="n"/>
      <c r="B26" s="12" t="n"/>
      <c r="C26" s="12" t="n"/>
      <c r="D26" s="12" t="n"/>
      <c r="E26" s="12" t="n"/>
      <c r="F26" s="13" t="n"/>
      <c r="G26" s="13" t="n"/>
      <c r="H26" s="14" t="n"/>
      <c r="I26" s="13" t="n"/>
      <c r="J26" s="13" t="n"/>
      <c r="K26" s="6">
        <f>IF(E26="","",E26*F26)</f>
        <v/>
      </c>
      <c r="L26" s="6">
        <f>IF(E26="","",ROUND(K26*H26+I26,2))</f>
        <v/>
      </c>
      <c r="M26" s="6">
        <f>IF(E26="","",K26-E26*G26-L26-N(J26))</f>
        <v/>
      </c>
      <c r="N26" s="4">
        <f>IF(A26="","",DATE(YEAR(A26),MONTH(A26),1))</f>
        <v/>
      </c>
    </row>
    <row r="27">
      <c r="A27" s="11" t="n"/>
      <c r="B27" s="12" t="n"/>
      <c r="C27" s="12" t="n"/>
      <c r="D27" s="12" t="n"/>
      <c r="E27" s="12" t="n"/>
      <c r="F27" s="13" t="n"/>
      <c r="G27" s="13" t="n"/>
      <c r="H27" s="14" t="n"/>
      <c r="I27" s="13" t="n"/>
      <c r="J27" s="13" t="n"/>
      <c r="K27" s="6">
        <f>IF(E27="","",E27*F27)</f>
        <v/>
      </c>
      <c r="L27" s="6">
        <f>IF(E27="","",ROUND(K27*H27+I27,2))</f>
        <v/>
      </c>
      <c r="M27" s="6">
        <f>IF(E27="","",K27-E27*G27-L27-N(J27))</f>
        <v/>
      </c>
      <c r="N27" s="4">
        <f>IF(A27="","",DATE(YEAR(A27),MONTH(A27),1))</f>
        <v/>
      </c>
    </row>
    <row r="28">
      <c r="A28" s="11" t="n"/>
      <c r="B28" s="12" t="n"/>
      <c r="C28" s="12" t="n"/>
      <c r="D28" s="12" t="n"/>
      <c r="E28" s="12" t="n"/>
      <c r="F28" s="13" t="n"/>
      <c r="G28" s="13" t="n"/>
      <c r="H28" s="14" t="n"/>
      <c r="I28" s="13" t="n"/>
      <c r="J28" s="13" t="n"/>
      <c r="K28" s="6">
        <f>IF(E28="","",E28*F28)</f>
        <v/>
      </c>
      <c r="L28" s="6">
        <f>IF(E28="","",ROUND(K28*H28+I28,2))</f>
        <v/>
      </c>
      <c r="M28" s="6">
        <f>IF(E28="","",K28-E28*G28-L28-N(J28))</f>
        <v/>
      </c>
      <c r="N28" s="4">
        <f>IF(A28="","",DATE(YEAR(A28),MONTH(A28),1))</f>
        <v/>
      </c>
    </row>
    <row r="29">
      <c r="A29" s="11" t="n"/>
      <c r="B29" s="12" t="n"/>
      <c r="C29" s="12" t="n"/>
      <c r="D29" s="12" t="n"/>
      <c r="E29" s="12" t="n"/>
      <c r="F29" s="13" t="n"/>
      <c r="G29" s="13" t="n"/>
      <c r="H29" s="14" t="n"/>
      <c r="I29" s="13" t="n"/>
      <c r="J29" s="13" t="n"/>
      <c r="K29" s="6">
        <f>IF(E29="","",E29*F29)</f>
        <v/>
      </c>
      <c r="L29" s="6">
        <f>IF(E29="","",ROUND(K29*H29+I29,2))</f>
        <v/>
      </c>
      <c r="M29" s="6">
        <f>IF(E29="","",K29-E29*G29-L29-N(J29))</f>
        <v/>
      </c>
      <c r="N29" s="4">
        <f>IF(A29="","",DATE(YEAR(A29),MONTH(A29),1))</f>
        <v/>
      </c>
    </row>
    <row r="30">
      <c r="A30" s="11" t="n"/>
      <c r="B30" s="12" t="n"/>
      <c r="C30" s="12" t="n"/>
      <c r="D30" s="12" t="n"/>
      <c r="E30" s="12" t="n"/>
      <c r="F30" s="13" t="n"/>
      <c r="G30" s="13" t="n"/>
      <c r="H30" s="14" t="n"/>
      <c r="I30" s="13" t="n"/>
      <c r="J30" s="13" t="n"/>
      <c r="K30" s="6">
        <f>IF(E30="","",E30*F30)</f>
        <v/>
      </c>
      <c r="L30" s="6">
        <f>IF(E30="","",ROUND(K30*H30+I30,2))</f>
        <v/>
      </c>
      <c r="M30" s="6">
        <f>IF(E30="","",K30-E30*G30-L30-N(J30))</f>
        <v/>
      </c>
      <c r="N30" s="4">
        <f>IF(A30="","",DATE(YEAR(A30),MONTH(A30),1))</f>
        <v/>
      </c>
    </row>
    <row r="31">
      <c r="A31" s="11" t="n"/>
      <c r="B31" s="12" t="n"/>
      <c r="C31" s="12" t="n"/>
      <c r="D31" s="12" t="n"/>
      <c r="E31" s="12" t="n"/>
      <c r="F31" s="13" t="n"/>
      <c r="G31" s="13" t="n"/>
      <c r="H31" s="14" t="n"/>
      <c r="I31" s="13" t="n"/>
      <c r="J31" s="13" t="n"/>
      <c r="K31" s="6">
        <f>IF(E31="","",E31*F31)</f>
        <v/>
      </c>
      <c r="L31" s="6">
        <f>IF(E31="","",ROUND(K31*H31+I31,2))</f>
        <v/>
      </c>
      <c r="M31" s="6">
        <f>IF(E31="","",K31-E31*G31-L31-N(J31))</f>
        <v/>
      </c>
      <c r="N31" s="4">
        <f>IF(A31="","",DATE(YEAR(A31),MONTH(A31),1))</f>
        <v/>
      </c>
    </row>
    <row r="33">
      <c r="A33" t="inlineStr">
        <is>
          <t>Free Lite version: 30 order rows, 1 tab. Sample rows are fictional – delete them. Fee rates are examples; use your own.</t>
        </is>
      </c>
    </row>
    <row r="34">
      <c r="A34" s="9" t="inlineStr">
        <is>
          <t>Full version ($9): 500 orders, live inventory &amp; reorder alerts, refunds (restock-aware), expenses, weekly dashboard + charts, auto fee lookup by channel.</t>
        </is>
      </c>
    </row>
  </sheetData>
  <dataValidations count="1">
    <dataValidation sqref="C2:C31" showDropDown="0" showInputMessage="0" showErrorMessage="0" allowBlank="1" type="list">
      <formula1>"Etsy,Shopify,Amazon,eBay,Stripe,Offline / In person,Other"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2026-10-13T05:22:59Z</dcterms:created>
  <dcterms:modified xmlns:dcterms="http://purl.org/dc/terms/" xmlns:xsi="http://www.w3.org/2001/XMLSchema-instance" xsi:type="dcterms:W3CDTF">2026-10-13T05:22:59Z</dcterms:modified>
</cp:coreProperties>
</file>